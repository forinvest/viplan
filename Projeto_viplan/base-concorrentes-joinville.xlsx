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correntes" sheetId="1" state="visible" r:id="rId3"/>
    <sheet name="Amenidades" sheetId="2" state="visible" r:id="rId4"/>
    <sheet name="Pendências" sheetId="3" state="visible" r:id="rId5"/>
    <sheet name="Dicionário" sheetId="4" state="visible" r:id="rId6"/>
  </sheets>
  <definedNames>
    <definedName function="false" hidden="true" localSheetId="0" name="_xlnm._FilterDatabase" vbProcedure="false">Concorrentes!$A$2:$AF$10</definedName>
    <definedName function="false" hidden="true" localSheetId="2" name="_xlnm._FilterDatabase" vbProcedure="false">Pendências!$A$1:$D$21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<sst xmlns="http://schemas.openxmlformats.org/spreadsheetml/2006/main" count="446" uniqueCount="255">
  <si>
    <t xml:space="preserve">IDENTIFICAÇÃO</t>
  </si>
  <si>
    <t xml:space="preserve">PRODUTO</t>
  </si>
  <si>
    <t xml:space="preserve">PREÇO</t>
  </si>
  <si>
    <t xml:space="preserve">CONDIÇÃO DE PAGAMENTO</t>
  </si>
  <si>
    <t xml:space="preserve">RASTREIO</t>
  </si>
  <si>
    <t xml:space="preserve">ID</t>
  </si>
  <si>
    <t xml:space="preserve">Empreendimento</t>
  </si>
  <si>
    <t xml:space="preserve">Incorporadora</t>
  </si>
  <si>
    <t xml:space="preserve">Cidade</t>
  </si>
  <si>
    <t xml:space="preserve">Bairro</t>
  </si>
  <si>
    <t xml:space="preserve">Endereço</t>
  </si>
  <si>
    <t xml:space="preserve">Link (maps/site)</t>
  </si>
  <si>
    <t xml:space="preserve">Segmento</t>
  </si>
  <si>
    <t xml:space="preserve">Tipologia</t>
  </si>
  <si>
    <t xml:space="preserve">Área mín (m²)</t>
  </si>
  <si>
    <t xml:space="preserve">Área máx (m²)</t>
  </si>
  <si>
    <t xml:space="preserve">Status</t>
  </si>
  <si>
    <t xml:space="preserve">Menor unidade - tabela (R$)</t>
  </si>
  <si>
    <t xml:space="preserve">Menor unidade - à vista (R$)</t>
  </si>
  <si>
    <t xml:space="preserve">VM² informado (R$/m²)</t>
  </si>
  <si>
    <t xml:space="preserve">VM² calculado (R$/m²)</t>
  </si>
  <si>
    <t xml:space="preserve">Entrada (%)</t>
  </si>
  <si>
    <t xml:space="preserve">Entrada (R$)</t>
  </si>
  <si>
    <t xml:space="preserve">Parcelas (qtd)</t>
  </si>
  <si>
    <t xml:space="preserve">Parcelas (%)</t>
  </si>
  <si>
    <t xml:space="preserve">Valor parcela (R$)</t>
  </si>
  <si>
    <t xml:space="preserve">Balões (qtd)</t>
  </si>
  <si>
    <t xml:space="preserve">Balões (%)</t>
  </si>
  <si>
    <t xml:space="preserve">Valor balão (R$)</t>
  </si>
  <si>
    <t xml:space="preserve">Saldo/chaves (%)</t>
  </si>
  <si>
    <t xml:space="preserve">Saldo/chaves (R$)</t>
  </si>
  <si>
    <t xml:space="preserve">Correção</t>
  </si>
  <si>
    <t xml:space="preserve">Condição - texto original</t>
  </si>
  <si>
    <t xml:space="preserve">Fonte</t>
  </si>
  <si>
    <t xml:space="preserve">Data da coleta</t>
  </si>
  <si>
    <t xml:space="preserve">Coletado por</t>
  </si>
  <si>
    <t xml:space="preserve">Observações</t>
  </si>
  <si>
    <t xml:space="preserve">C001</t>
  </si>
  <si>
    <t xml:space="preserve">G8</t>
  </si>
  <si>
    <t xml:space="preserve">ZR3</t>
  </si>
  <si>
    <t xml:space="preserve">Joinville</t>
  </si>
  <si>
    <t xml:space="preserve">América</t>
  </si>
  <si>
    <t xml:space="preserve">Rua Marechal Floriano, 226</t>
  </si>
  <si>
    <t xml:space="preserve">Misto</t>
  </si>
  <si>
    <t xml:space="preserve">1 tipologia</t>
  </si>
  <si>
    <t xml:space="preserve">Lançamento</t>
  </si>
  <si>
    <t xml:space="preserve">24x acima de 2 unidades. R$ 220.000 à vista | R$ 280.000 a prazo. Lançamento em outubro (ano não informado).</t>
  </si>
  <si>
    <t xml:space="preserve">Ano do lançamento não informado. Falta detalhar entrada, balões e saldo. À vista tem desconto de 21,4% sobre a tabela.</t>
  </si>
  <si>
    <t xml:space="preserve">C002</t>
  </si>
  <si>
    <t xml:space="preserve">Costa Park</t>
  </si>
  <si>
    <t xml:space="preserve">Inovar</t>
  </si>
  <si>
    <t xml:space="preserve">Costa e Silva</t>
  </si>
  <si>
    <t xml:space="preserve">Rua Landmann, 90</t>
  </si>
  <si>
    <t xml:space="preserve">Studio a 2 dorm.</t>
  </si>
  <si>
    <t xml:space="preserve">Em vendas</t>
  </si>
  <si>
    <t xml:space="preserve">R$ 10.000 de sinal + 40x de R$ 804,32 + 3 balões de R$ 5.000.</t>
  </si>
  <si>
    <t xml:space="preserve">ATENÇÃO: a condição informada soma R$ 57.173, contra R$ 272.000 de tabela. Falta o saldo (financiamento/chaves ~R$ 214.827). Valor anterior de R$ 219.040 foi substituído — confirmar se ele era o preço à vista ou de outra tipologia.</t>
  </si>
  <si>
    <t xml:space="preserve">C003</t>
  </si>
  <si>
    <t xml:space="preserve">Vanguard Ginásticos</t>
  </si>
  <si>
    <t xml:space="preserve">Vanguard</t>
  </si>
  <si>
    <t xml:space="preserve">Rua dos Ginásticos</t>
  </si>
  <si>
    <t xml:space="preserve">INCC</t>
  </si>
  <si>
    <t xml:space="preserve">10% de entrada + 10% em 47x + 15% em 6 balões + 65% no final da obra, com correção INCC.</t>
  </si>
  <si>
    <t xml:space="preserve">Nome do empreendimento não informado. O VM² informado (12.968,75) equivale a uma unidade de ~32 m², não à de 26 m² — confirmar a qual tipologia ele se refere.</t>
  </si>
  <si>
    <t xml:space="preserve">C004</t>
  </si>
  <si>
    <t xml:space="preserve">Vanguard Batalhão</t>
  </si>
  <si>
    <t xml:space="preserve">Rua Batalhão (confirmar número)</t>
  </si>
  <si>
    <t xml:space="preserve">https://maps.app.goo.gl/kzjyAU9NzYdHiuyc6</t>
  </si>
  <si>
    <t xml:space="preserve">Studio</t>
  </si>
  <si>
    <t xml:space="preserve">Condição 60/40, com 15% de entrada.</t>
  </si>
  <si>
    <t xml:space="preserve">Lançamento nov/26. Falta abrir os 60% da obra em parcelas e balões.</t>
  </si>
  <si>
    <t xml:space="preserve">C005</t>
  </si>
  <si>
    <t xml:space="preserve">Stay</t>
  </si>
  <si>
    <t xml:space="preserve">Infrasul</t>
  </si>
  <si>
    <t xml:space="preserve">Anita Garibaldi</t>
  </si>
  <si>
    <t xml:space="preserve">Rua Pernambuco, 241</t>
  </si>
  <si>
    <t xml:space="preserve">Studio a 2 dorm. (unid. comparada c/ 1 vaga)</t>
  </si>
  <si>
    <t xml:space="preserve">TABELA FINANCIAMENTO - R$ 551.702: entrada R$ 55.170 + 20x de R$ 2.759 + balão de R$ 55.170 + R$ 386.182 de financiamento. Estrutura 10% / 10% / 10% / 70%. TABELA INVESTIDOR - R$ 513.082,86, pagamento até 03/28: entrada R$ 51.308,29 + 20 parcelas de R$ 23.088,73.</t>
  </si>
  <si>
    <t xml:space="preserve">Unidade comparada: 41,85 m² com 1 vaga de garagem. A faixa divulgada do empreendimento é de 38 a 70 m², mas os valores de tabela referem-se a esta unidade. A coluna 'à vista' traz a tabela investidor (R$ 513.082,86), que não é pagamento à vista literal e sim quitação até 03/28 - 7% abaixo da tabela financiamento. Assim como o Pulse, o preço inclui vaga.</t>
  </si>
  <si>
    <t xml:space="preserve">C006</t>
  </si>
  <si>
    <t xml:space="preserve">Sync Joinville</t>
  </si>
  <si>
    <t xml:space="preserve">1 dorm. a 2 suítes</t>
  </si>
  <si>
    <t xml:space="preserve">Unidade 1309 (25,25 m²): entrada R$ 53.473,32 + 100x de R$ 1.069,47 + 14 semestrais de R$ 7.639,05 + R$ 29.707,40 nas chaves. Estrutura 18% / 36% / 36% / 10%.</t>
  </si>
  <si>
    <t xml:space="preserve">Tabela oficial DWV - agosto/2026</t>
  </si>
  <si>
    <t xml:space="preserve">26/08/2026</t>
  </si>
  <si>
    <t xml:space="preserve">Incorporação 863992. Entrega prevista maio/2028. 91 unidades no bloco 01, sendo 75 disponíveis e 16 indisponíveis (vendidas/reservadas). Menor unidade em preço é a 1309 (25,25 m² privativos, R$ 297.074). Existe uma de 25,23 m² a R$ 332.424 (tipo 10) - o preço varia por pavimento e posição, não só por metragem. Áreas privativas; a área total das menores fica em ~36 m². Correção contratual não consta na tabela.</t>
  </si>
  <si>
    <t xml:space="preserve">C007</t>
  </si>
  <si>
    <t xml:space="preserve">Monte Palatino Residencial</t>
  </si>
  <si>
    <t xml:space="preserve">In Loco</t>
  </si>
  <si>
    <t xml:space="preserve">Glória</t>
  </si>
  <si>
    <t xml:space="preserve">Rua Jaú, 190</t>
  </si>
  <si>
    <t xml:space="preserve">Studio a suíte + 1</t>
  </si>
  <si>
    <t xml:space="preserve">Pré-lançamento</t>
  </si>
  <si>
    <t xml:space="preserve">Condições de pagamento não divulgadas no material de pré-lançamento. Suíte + 1 anunciada por R$ 400.000.</t>
  </si>
  <si>
    <t xml:space="preserve">Material de pré-lançamento (divulgação do corretor)</t>
  </si>
  <si>
    <t xml:space="preserve">VALOR ESTIMADO, NÃO DIVULGADO: a menor unidade foi calculada como 25 m² x R$ 10.526/m² = R$ 263.150. O VM² de R$ 10.526 vem da suíte + 1 (R$ 400.000 / ~38 m²), então assume que o studio tem o mesmo VM², o que na prática raramente acontece (unidades menores costumam ter VM² mais alto). Trocar pelo valor real assim que sair a tabela. Torre única, 38 unidades. Início das obras fev/2027, entrega ago/2029.</t>
  </si>
  <si>
    <t xml:space="preserve">C008</t>
  </si>
  <si>
    <t xml:space="preserve">Pulse</t>
  </si>
  <si>
    <t xml:space="preserve">Halsten</t>
  </si>
  <si>
    <t xml:space="preserve">Centro</t>
  </si>
  <si>
    <t xml:space="preserve">Rua Max Colin, 635</t>
  </si>
  <si>
    <t xml:space="preserve">Studio (1 dorm. + 1 vaga)</t>
  </si>
  <si>
    <t xml:space="preserve">Unidade 2016 (33,63 m²): entrada R$ 57.367,61 + 38x de R$ 1.635,48 + 3 reforços de R$ 23.903,17 + R$ 286.838,07 de financiamento. Estrutura 12% / 13% / 15% / 60%.</t>
  </si>
  <si>
    <t xml:space="preserve">Incorporação 8174104. Entrega prevista outubro/2029. A tabela recebida traz só os studios: 7 unidades (5 disponíveis, 2 indisponíveis), do 20º ao 26º pavimento. Se a torre tiver outras tipologias, a faixa de área está incompleta. Studio já inclui 1 vaga de garagem, o que puxa o VM² para cima frente aos concorrentes sem vaga. Nesta tabela a área privativa é igual à área total (33,63 m²), critério diferente do Sync, que separa as duas.</t>
  </si>
  <si>
    <t xml:space="preserve">EXEMPLO ↓ (apague ao usar)</t>
  </si>
  <si>
    <t xml:space="preserve">Nome do empreendimento</t>
  </si>
  <si>
    <t xml:space="preserve">Nome da incorporadora</t>
  </si>
  <si>
    <t xml:space="preserve">Bairro X</t>
  </si>
  <si>
    <t xml:space="preserve">Rua Exemplo, 100</t>
  </si>
  <si>
    <t xml:space="preserve">https://...</t>
  </si>
  <si>
    <t xml:space="preserve">10% entrada + 20% em 36x + 10% em 4 balões + 60% financiamento.</t>
  </si>
  <si>
    <t xml:space="preserve">Tabela do corretor</t>
  </si>
  <si>
    <t xml:space="preserve">01/09/2026</t>
  </si>
  <si>
    <t xml:space="preserve">Everton</t>
  </si>
  <si>
    <t xml:space="preserve">Observação livre.</t>
  </si>
  <si>
    <t xml:space="preserve">LEGENDA</t>
  </si>
  <si>
    <t xml:space="preserve">• Azul = dado coletado (preencher aqui). Preto = fórmula, não editar. Amarelo = campo pendente de coleta.</t>
  </si>
  <si>
    <t xml:space="preserve">• VM² calculado = menor unidade tabela ÷ área mínima. Compare com o VM² informado pelo concorrente: divergência quase sempre significa que ele calculou sobre outra tipologia.</t>
  </si>
  <si>
    <t xml:space="preserve">• Percentuais são frações (0,10 = 10%). Sempre que a condição vier em R$, preencha os campos de R$ e deixe o % em branco (ou vice-versa).</t>
  </si>
  <si>
    <t xml:space="preserve">• Uma linha = um empreendimento. Se precisar comparar tipologia a tipologia, quebre em várias linhas com o mesmo empreendimento e o ID sufixado (C001-a, C001-b).</t>
  </si>
  <si>
    <t xml:space="preserve">• Reveja a coluna Observações antes de apresentar qualquer número: ela marca as inconsistências dos dados atuais.</t>
  </si>
  <si>
    <t xml:space="preserve">Academia</t>
  </si>
  <si>
    <t xml:space="preserve">Piscina</t>
  </si>
  <si>
    <t xml:space="preserve">Salão de festas</t>
  </si>
  <si>
    <t xml:space="preserve">Coworking / work lounge</t>
  </si>
  <si>
    <t xml:space="preserve">Playground</t>
  </si>
  <si>
    <t xml:space="preserve">Bar</t>
  </si>
  <si>
    <t xml:space="preserve">Pet place</t>
  </si>
  <si>
    <t xml:space="preserve">Varanda gourmet</t>
  </si>
  <si>
    <t xml:space="preserve">Praça descoberta</t>
  </si>
  <si>
    <t xml:space="preserve">Lavanderia coletiva</t>
  </si>
  <si>
    <t xml:space="preserve">Mini market</t>
  </si>
  <si>
    <t xml:space="preserve">Maleiro / depósito</t>
  </si>
  <si>
    <t xml:space="preserve">Delivery / locker</t>
  </si>
  <si>
    <t xml:space="preserve">Rooftop</t>
  </si>
  <si>
    <t xml:space="preserve">Churrasqueira</t>
  </si>
  <si>
    <t xml:space="preserve">Bicicletário</t>
  </si>
  <si>
    <t xml:space="preserve">Deck</t>
  </si>
  <si>
    <t xml:space="preserve">Espaço gourmet</t>
  </si>
  <si>
    <t xml:space="preserve">Estar social / lounge</t>
  </si>
  <si>
    <t xml:space="preserve">Sala de jogos</t>
  </si>
  <si>
    <t xml:space="preserve">Solarium</t>
  </si>
  <si>
    <t xml:space="preserve">Medidores individuais</t>
  </si>
  <si>
    <t xml:space="preserve">Elevador</t>
  </si>
  <si>
    <t xml:space="preserve">Fire place</t>
  </si>
  <si>
    <t xml:space="preserve">Hall decorado</t>
  </si>
  <si>
    <t xml:space="preserve">Brinquedoteca</t>
  </si>
  <si>
    <t xml:space="preserve">Sala de reunião</t>
  </si>
  <si>
    <t xml:space="preserve">Pub</t>
  </si>
  <si>
    <t xml:space="preserve">Espaço contemplação</t>
  </si>
  <si>
    <t xml:space="preserve">Estacionamento rotativo</t>
  </si>
  <si>
    <t xml:space="preserve">Circuito de TV</t>
  </si>
  <si>
    <t xml:space="preserve">Interfone</t>
  </si>
  <si>
    <t xml:space="preserve">Internet</t>
  </si>
  <si>
    <t xml:space="preserve">Total de itens</t>
  </si>
  <si>
    <t xml:space="preserve">X</t>
  </si>
  <si>
    <t xml:space="preserve">Monte Palatino</t>
  </si>
  <si>
    <t xml:space="preserve">Marque "X" onde o item existe. Linhas em amarelo: lazer ainda não levantado.</t>
  </si>
  <si>
    <t xml:space="preserve">Esta aba é o que justifica diferença de VM² entre produtos de metragem parecida.</t>
  </si>
  <si>
    <t xml:space="preserve">O que falta</t>
  </si>
  <si>
    <t xml:space="preserve">Prioridade</t>
  </si>
  <si>
    <t xml:space="preserve">Ano do lançamento; entrada, balões e saldo; área máxima; lazer</t>
  </si>
  <si>
    <t xml:space="preserve">Alta</t>
  </si>
  <si>
    <t xml:space="preserve">Saldo de ~R$ 214.827 não descrito na condição de pagamento</t>
  </si>
  <si>
    <t xml:space="preserve">Média</t>
  </si>
  <si>
    <t xml:space="preserve">Confirmar o que era o valor de R$ 219.040 (à vista? outra tipologia?)</t>
  </si>
  <si>
    <t xml:space="preserve">Saldo de ~R$ 161.867 não descrito na condição de pagamento</t>
  </si>
  <si>
    <t xml:space="preserve">Mês de lançamento, correção do contrato e lazer</t>
  </si>
  <si>
    <t xml:space="preserve">Nome comercial do empreendimento</t>
  </si>
  <si>
    <t xml:space="preserve">Metragem exata a que se refere o VM² de 12.968,75</t>
  </si>
  <si>
    <t xml:space="preserve">Número do endereço e mês de lançamento</t>
  </si>
  <si>
    <t xml:space="preserve">Baixa</t>
  </si>
  <si>
    <t xml:space="preserve">Abertura dos 60% da obra (parcelas x balões)</t>
  </si>
  <si>
    <t xml:space="preserve">Endereço completo e lista de lazer</t>
  </si>
  <si>
    <t xml:space="preserve">Divergência entre soma da condição (R$ 551.702) e tabela (R$ 513.082)</t>
  </si>
  <si>
    <t xml:space="preserve">Existe tabela normal além da tabela investidor?</t>
  </si>
  <si>
    <t xml:space="preserve">Todos</t>
  </si>
  <si>
    <t xml:space="preserve">—</t>
  </si>
  <si>
    <t xml:space="preserve">Fonte e data de cada coleta (sem isso a base perde valor no 2º mês)</t>
  </si>
  <si>
    <t xml:space="preserve">Definir a data de corte do snapshot mensal</t>
  </si>
  <si>
    <t xml:space="preserve">Endereço, bairro e incorporadora responsável</t>
  </si>
  <si>
    <t xml:space="preserve">Correção contratual (INCC?) não consta na tabela DWV</t>
  </si>
  <si>
    <t xml:space="preserve">Tabela real do studio - hoje o valor está estimado por VM²</t>
  </si>
  <si>
    <t xml:space="preserve">Condições de pagamento (entrada, parcelas, balões, saldo)</t>
  </si>
  <si>
    <t xml:space="preserve">Tabela das demais tipologias (a recebida só traz studios)</t>
  </si>
  <si>
    <t xml:space="preserve">Correção contratual não consta na tabela</t>
  </si>
  <si>
    <t xml:space="preserve">Campo</t>
  </si>
  <si>
    <t xml:space="preserve">O que é</t>
  </si>
  <si>
    <t xml:space="preserve">Formato</t>
  </si>
  <si>
    <t xml:space="preserve">Regra de preenchimento</t>
  </si>
  <si>
    <t xml:space="preserve">Código fixo do empreendimento na base</t>
  </si>
  <si>
    <t xml:space="preserve">Texto (C001, C002...)</t>
  </si>
  <si>
    <t xml:space="preserve">Nunca reaproveite um ID. Ele é a chave entre as abas.</t>
  </si>
  <si>
    <t xml:space="preserve">Nome comercial</t>
  </si>
  <si>
    <t xml:space="preserve">Texto</t>
  </si>
  <si>
    <t xml:space="preserve">Se ainda não tem nome, use o apelido de rua e marque na aba Pendências.</t>
  </si>
  <si>
    <t xml:space="preserve">Quem incorpora</t>
  </si>
  <si>
    <t xml:space="preserve">Sempre o mesmo grafismo, para conseguir agrupar depois.</t>
  </si>
  <si>
    <t xml:space="preserve">Categoria do produto</t>
  </si>
  <si>
    <t xml:space="preserve">Lista</t>
  </si>
  <si>
    <t xml:space="preserve">Studio, Misto, Residencial, Comercial, Alto padrão.</t>
  </si>
  <si>
    <t xml:space="preserve">Mix de plantas ofertado</t>
  </si>
  <si>
    <t xml:space="preserve">Ex.: 'Studio a 2 dorm.'</t>
  </si>
  <si>
    <t xml:space="preserve">Área mín / máx (m²)</t>
  </si>
  <si>
    <t xml:space="preserve">Menor e maior área privativa</t>
  </si>
  <si>
    <t xml:space="preserve">Número</t>
  </si>
  <si>
    <t xml:space="preserve">Área privativa, nunca total. Se for uma tipologia só, deixe a máxima vazia.</t>
  </si>
  <si>
    <t xml:space="preserve">Momento comercial</t>
  </si>
  <si>
    <t xml:space="preserve">Lançamento, Pré-lançamento, Em vendas, Em obras, Entregue, Esgotado.</t>
  </si>
  <si>
    <t xml:space="preserve">Menor unidade - tabela</t>
  </si>
  <si>
    <t xml:space="preserve">Preço de tabela da menor unidade</t>
  </si>
  <si>
    <t xml:space="preserve">R$</t>
  </si>
  <si>
    <t xml:space="preserve">Sempre a menor unidade disponível, para os valores serem comparáveis.</t>
  </si>
  <si>
    <t xml:space="preserve">Menor unidade - à vista</t>
  </si>
  <si>
    <t xml:space="preserve">Preço à vista da mesma unidade</t>
  </si>
  <si>
    <t xml:space="preserve">Só preencha se o concorrente publicar. A diferença revela o desconto praticado.</t>
  </si>
  <si>
    <t xml:space="preserve">VM² informado</t>
  </si>
  <si>
    <t xml:space="preserve">R$/m² divulgado pelo concorrente</t>
  </si>
  <si>
    <t xml:space="preserve">Copie exatamente como foi divulgado, mesmo que divirja do calculado.</t>
  </si>
  <si>
    <t xml:space="preserve">VM² calculado</t>
  </si>
  <si>
    <t xml:space="preserve">Tabela ÷ área mínima</t>
  </si>
  <si>
    <t xml:space="preserve">Fórmula</t>
  </si>
  <si>
    <t xml:space="preserve">Não editar. Divergência com o informado é sinal para investigar.</t>
  </si>
  <si>
    <t xml:space="preserve">Entrada (% e R$)</t>
  </si>
  <si>
    <t xml:space="preserve">Parcela inicial</t>
  </si>
  <si>
    <t xml:space="preserve">% ou R$</t>
  </si>
  <si>
    <t xml:space="preserve">Preencha na unidade em que o concorrente divulgou; não converta na mão.</t>
  </si>
  <si>
    <t xml:space="preserve">Parcelas (qtd/%/valor)</t>
  </si>
  <si>
    <t xml:space="preserve">Mensais durante a obra</t>
  </si>
  <si>
    <t xml:space="preserve">Número / % / R$</t>
  </si>
  <si>
    <t xml:space="preserve">Qtd sempre; % e valor conforme o divulgado.</t>
  </si>
  <si>
    <t xml:space="preserve">Balões (qtd/%/valor)</t>
  </si>
  <si>
    <t xml:space="preserve">Intermediárias</t>
  </si>
  <si>
    <t xml:space="preserve">Se os balões tiverem valores diferentes, descreva no texto original.</t>
  </si>
  <si>
    <t xml:space="preserve">Saldo/chaves</t>
  </si>
  <si>
    <t xml:space="preserve">Financiamento ou pagamento na entrega</t>
  </si>
  <si>
    <t xml:space="preserve">É o campo que mais muda a percepção de esforço do cliente.</t>
  </si>
  <si>
    <t xml:space="preserve">Índice de reajuste</t>
  </si>
  <si>
    <t xml:space="preserve">INCC, IGP-M, sem correção. Vazio significa 'não informado', não 'sem correção'.</t>
  </si>
  <si>
    <t xml:space="preserve">Transcrição literal</t>
  </si>
  <si>
    <t xml:space="preserve">Nunca apague. É a prova do que foi coletado quando os campos estruturados divergirem.</t>
  </si>
  <si>
    <t xml:space="preserve">De onde veio o dado</t>
  </si>
  <si>
    <t xml:space="preserve">Tabela do corretor, site, DWV, visita, stand. Obrigatório.</t>
  </si>
  <si>
    <t xml:space="preserve">Quando foi levantado</t>
  </si>
  <si>
    <t xml:space="preserve">DD/MM/AAAA</t>
  </si>
  <si>
    <t xml:space="preserve">Obrigatório. É o que transforma a base em série histórica.</t>
  </si>
  <si>
    <t xml:space="preserve">Quem levantou</t>
  </si>
  <si>
    <t xml:space="preserve">Para conseguir voltar e perguntar.</t>
  </si>
  <si>
    <t xml:space="preserve">Ressalvas e inconsistências</t>
  </si>
  <si>
    <t xml:space="preserve">Registre aqui tudo que você desconfia. Custa mais caro descobrir na apresentação.</t>
  </si>
  <si>
    <t xml:space="preserve">COMO MANTER A SÉRIE HISTÓRICA</t>
  </si>
  <si>
    <t xml:space="preserve">• Todo mês, duplique a aba Concorrentes e renomeie para o mês do snapshot (ex.: 2026-09). Não sobrescreva o mês anterior.</t>
  </si>
  <si>
    <t xml:space="preserve">• Preço de concorrente sem data de coleta não vale nada depois de 60 dias. Data e fonte são os dois campos inegociáveis.</t>
  </si>
  <si>
    <t xml:space="preserve">• Quando um empreendimento esgotar, mude o Status em vez de apagar a linha: a saída do estoque é informação.</t>
  </si>
  <si>
    <t xml:space="preserve">• Quando a base passar de ~30 empreendimentos e 6 meses, ela já não cabe bem em planilha — é o momento de virar banco.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</si>
</sst>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&quot;R$ &quot;#,##0;&quot;(R$ &quot;#,##0\);\-"/>
    <numFmt numFmtId="167" formatCode="&quot;R$ &quot;#,##0.00;&quot;(R$ &quot;#,##0.00\);\-"/>
    <numFmt numFmtId="168" formatCode="0.0%;\(0.0%\);\-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34"/>
    <col collapsed="false" customWidth="true" hidden="false" outlineLevel="0" max="7" min="7" style="1" width="22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1" min="10" style="1" width="12"/>
    <col collapsed="false" customWidth="true" hidden="false" outlineLevel="0" max="12" min="12" style="1" width="14"/>
    <col collapsed="false" customWidth="true" hidden="false" outlineLevel="0" max="14" min="13" style="1" width="16"/>
    <col collapsed="false" customWidth="true" hidden="false" outlineLevel="0" max="16" min="15" style="1" width="15"/>
    <col collapsed="false" customWidth="true" hidden="false" outlineLevel="0" max="17" min="17" style="1" width="10"/>
    <col collapsed="false" customWidth="true" hidden="false" outlineLevel="0" max="18" min="18" style="1" width="13"/>
    <col collapsed="false" customWidth="true" hidden="false" outlineLevel="0" max="19" min="19" style="1" width="11"/>
    <col collapsed="false" customWidth="true" hidden="false" outlineLevel="0" max="20" min="20" style="1" width="10"/>
    <col collapsed="false" customWidth="true" hidden="false" outlineLevel="0" max="21" min="21" style="1" width="14"/>
    <col collapsed="false" customWidth="true" hidden="false" outlineLevel="0" max="23" min="22" style="1" width="10"/>
    <col collapsed="false" customWidth="true" hidden="false" outlineLevel="0" max="24" min="24" style="1" width="13"/>
    <col collapsed="false" customWidth="true" hidden="false" outlineLevel="0" max="25" min="25" style="1" width="11"/>
    <col collapsed="false" customWidth="true" hidden="false" outlineLevel="0" max="26" min="26" style="1" width="14"/>
    <col collapsed="false" customWidth="true" hidden="false" outlineLevel="0" max="27" min="27" style="1" width="12"/>
    <col collapsed="false" customWidth="true" hidden="false" outlineLevel="0" max="28" min="28" style="1" width="42"/>
    <col collapsed="false" customWidth="true" hidden="false" outlineLevel="0" max="29" min="29" style="1" width="16"/>
    <col collapsed="false" customWidth="true" hidden="false" outlineLevel="0" max="30" min="30" style="1" width="13"/>
    <col collapsed="false" customWidth="true" hidden="false" outlineLevel="0" max="31" min="31" style="1" width="14"/>
    <col collapsed="false" customWidth="true" hidden="false" outlineLevel="0" max="32" min="32" style="1" width="4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 t="s">
        <v>1</v>
      </c>
      <c r="I1" s="2"/>
      <c r="J1" s="2"/>
      <c r="K1" s="2"/>
      <c r="L1" s="2"/>
      <c r="M1" s="2" t="s">
        <v>2</v>
      </c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4</v>
      </c>
      <c r="AD1" s="2"/>
      <c r="AE1" s="2"/>
      <c r="AF1" s="2"/>
    </row>
    <row r="2" customFormat="false" ht="33.75" hidden="false" customHeight="tru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31</v>
      </c>
      <c r="AB2" s="3" t="s">
        <v>32</v>
      </c>
      <c r="AC2" s="3" t="s">
        <v>33</v>
      </c>
      <c r="AD2" s="3" t="s">
        <v>34</v>
      </c>
      <c r="AE2" s="3" t="s">
        <v>35</v>
      </c>
      <c r="AF2" s="3" t="s">
        <v>36</v>
      </c>
    </row>
    <row r="3" customFormat="false" ht="34.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5" t="s">
        <v>42</v>
      </c>
      <c r="G3" s="6"/>
      <c r="H3" s="4" t="s">
        <v>43</v>
      </c>
      <c r="I3" s="4" t="s">
        <v>44</v>
      </c>
      <c r="J3" s="7" t="n">
        <v>21</v>
      </c>
      <c r="K3" s="8"/>
      <c r="L3" s="4" t="s">
        <v>45</v>
      </c>
      <c r="M3" s="9" t="n">
        <v>280000</v>
      </c>
      <c r="N3" s="9" t="n">
        <v>220000</v>
      </c>
      <c r="O3" s="10"/>
      <c r="P3" s="11" t="n">
        <f aca="false">IFERROR(M3/J3,"")</f>
        <v>13333.3333333333</v>
      </c>
      <c r="Q3" s="12"/>
      <c r="R3" s="13"/>
      <c r="S3" s="14" t="n">
        <v>24</v>
      </c>
      <c r="T3" s="12"/>
      <c r="U3" s="15"/>
      <c r="V3" s="4"/>
      <c r="W3" s="12"/>
      <c r="X3" s="13"/>
      <c r="Y3" s="12"/>
      <c r="Z3" s="13"/>
      <c r="AA3" s="4"/>
      <c r="AB3" s="5" t="s">
        <v>46</v>
      </c>
      <c r="AC3" s="6"/>
      <c r="AD3" s="16"/>
      <c r="AE3" s="16"/>
      <c r="AF3" s="5" t="s">
        <v>47</v>
      </c>
    </row>
    <row r="4" customFormat="false" ht="34.5" hidden="false" customHeight="true" outlineLevel="0" collapsed="false">
      <c r="A4" s="4" t="s">
        <v>48</v>
      </c>
      <c r="B4" s="4" t="s">
        <v>49</v>
      </c>
      <c r="C4" s="4" t="s">
        <v>50</v>
      </c>
      <c r="D4" s="4" t="s">
        <v>40</v>
      </c>
      <c r="E4" s="4" t="s">
        <v>51</v>
      </c>
      <c r="F4" s="5" t="s">
        <v>52</v>
      </c>
      <c r="G4" s="6"/>
      <c r="H4" s="4" t="s">
        <v>43</v>
      </c>
      <c r="I4" s="4" t="s">
        <v>53</v>
      </c>
      <c r="J4" s="7" t="n">
        <v>33</v>
      </c>
      <c r="K4" s="7" t="n">
        <v>63</v>
      </c>
      <c r="L4" s="4" t="s">
        <v>54</v>
      </c>
      <c r="M4" s="9" t="n">
        <v>272000</v>
      </c>
      <c r="N4" s="13"/>
      <c r="O4" s="10"/>
      <c r="P4" s="11" t="n">
        <f aca="false">IFERROR(M4/J4,"")</f>
        <v>8242.42424242424</v>
      </c>
      <c r="Q4" s="12"/>
      <c r="R4" s="9" t="n">
        <v>10000</v>
      </c>
      <c r="S4" s="14" t="n">
        <v>40</v>
      </c>
      <c r="T4" s="12"/>
      <c r="U4" s="17" t="n">
        <v>804.32</v>
      </c>
      <c r="V4" s="14" t="n">
        <v>3</v>
      </c>
      <c r="W4" s="12"/>
      <c r="X4" s="9" t="n">
        <v>5000</v>
      </c>
      <c r="Y4" s="12"/>
      <c r="Z4" s="13"/>
      <c r="AA4" s="4"/>
      <c r="AB4" s="5" t="s">
        <v>55</v>
      </c>
      <c r="AC4" s="6"/>
      <c r="AD4" s="16"/>
      <c r="AE4" s="16"/>
      <c r="AF4" s="5" t="s">
        <v>56</v>
      </c>
    </row>
    <row r="5" customFormat="false" ht="45.75" hidden="false" customHeight="true" outlineLevel="0" collapsed="false">
      <c r="A5" s="4" t="s">
        <v>57</v>
      </c>
      <c r="B5" s="4" t="s">
        <v>58</v>
      </c>
      <c r="C5" s="4" t="s">
        <v>59</v>
      </c>
      <c r="D5" s="4" t="s">
        <v>40</v>
      </c>
      <c r="E5" s="6"/>
      <c r="F5" s="5" t="s">
        <v>60</v>
      </c>
      <c r="G5" s="6"/>
      <c r="H5" s="4" t="s">
        <v>43</v>
      </c>
      <c r="I5" s="4" t="s">
        <v>53</v>
      </c>
      <c r="J5" s="7" t="n">
        <v>26</v>
      </c>
      <c r="K5" s="7" t="n">
        <v>56</v>
      </c>
      <c r="L5" s="4" t="s">
        <v>54</v>
      </c>
      <c r="M5" s="9" t="n">
        <v>415600</v>
      </c>
      <c r="N5" s="13"/>
      <c r="O5" s="17" t="n">
        <v>12968.75</v>
      </c>
      <c r="P5" s="11" t="n">
        <f aca="false">IFERROR(M5/J5,"")</f>
        <v>15984.6153846154</v>
      </c>
      <c r="Q5" s="18" t="n">
        <v>0.1</v>
      </c>
      <c r="R5" s="13"/>
      <c r="S5" s="14" t="n">
        <v>47</v>
      </c>
      <c r="T5" s="18" t="n">
        <v>0.1</v>
      </c>
      <c r="U5" s="15"/>
      <c r="V5" s="14" t="n">
        <v>6</v>
      </c>
      <c r="W5" s="18" t="n">
        <v>0.15</v>
      </c>
      <c r="X5" s="13"/>
      <c r="Y5" s="18" t="n">
        <v>0.65</v>
      </c>
      <c r="Z5" s="13"/>
      <c r="AA5" s="4" t="s">
        <v>61</v>
      </c>
      <c r="AB5" s="5" t="s">
        <v>62</v>
      </c>
      <c r="AC5" s="6"/>
      <c r="AD5" s="16"/>
      <c r="AE5" s="16"/>
      <c r="AF5" s="5" t="s">
        <v>63</v>
      </c>
    </row>
    <row r="6" customFormat="false" ht="23.25" hidden="false" customHeight="true" outlineLevel="0" collapsed="false">
      <c r="A6" s="4" t="s">
        <v>64</v>
      </c>
      <c r="B6" s="4" t="s">
        <v>65</v>
      </c>
      <c r="C6" s="4" t="s">
        <v>59</v>
      </c>
      <c r="D6" s="4" t="s">
        <v>40</v>
      </c>
      <c r="E6" s="6"/>
      <c r="F6" s="5" t="s">
        <v>66</v>
      </c>
      <c r="G6" s="4" t="s">
        <v>67</v>
      </c>
      <c r="H6" s="4" t="s">
        <v>68</v>
      </c>
      <c r="I6" s="4" t="s">
        <v>68</v>
      </c>
      <c r="J6" s="7" t="n">
        <v>25</v>
      </c>
      <c r="K6" s="7" t="n">
        <v>33</v>
      </c>
      <c r="L6" s="4" t="s">
        <v>45</v>
      </c>
      <c r="M6" s="9" t="n">
        <v>350000</v>
      </c>
      <c r="N6" s="13"/>
      <c r="O6" s="17" t="n">
        <v>14000</v>
      </c>
      <c r="P6" s="11" t="n">
        <f aca="false">IFERROR(M6/J6,"")</f>
        <v>14000</v>
      </c>
      <c r="Q6" s="18" t="n">
        <v>0.15</v>
      </c>
      <c r="R6" s="13"/>
      <c r="S6" s="4"/>
      <c r="T6" s="12"/>
      <c r="U6" s="15"/>
      <c r="V6" s="4"/>
      <c r="W6" s="12"/>
      <c r="X6" s="13"/>
      <c r="Y6" s="18" t="n">
        <v>0.4</v>
      </c>
      <c r="Z6" s="13"/>
      <c r="AA6" s="4"/>
      <c r="AB6" s="5" t="s">
        <v>69</v>
      </c>
      <c r="AC6" s="6"/>
      <c r="AD6" s="16"/>
      <c r="AE6" s="16"/>
      <c r="AF6" s="5" t="s">
        <v>70</v>
      </c>
    </row>
    <row r="7" customFormat="false" ht="34.5" hidden="false" customHeight="true" outlineLevel="0" collapsed="false">
      <c r="A7" s="4" t="s">
        <v>71</v>
      </c>
      <c r="B7" s="4" t="s">
        <v>72</v>
      </c>
      <c r="C7" s="4" t="s">
        <v>73</v>
      </c>
      <c r="D7" s="4" t="s">
        <v>40</v>
      </c>
      <c r="E7" s="4" t="s">
        <v>74</v>
      </c>
      <c r="F7" s="5" t="s">
        <v>75</v>
      </c>
      <c r="G7" s="6"/>
      <c r="H7" s="4" t="s">
        <v>43</v>
      </c>
      <c r="I7" s="4" t="s">
        <v>76</v>
      </c>
      <c r="J7" s="7" t="n">
        <v>41.85</v>
      </c>
      <c r="K7" s="7" t="n">
        <v>70</v>
      </c>
      <c r="L7" s="4" t="s">
        <v>54</v>
      </c>
      <c r="M7" s="9" t="n">
        <v>551702</v>
      </c>
      <c r="N7" s="13" t="n">
        <v>513082.86</v>
      </c>
      <c r="O7" s="17" t="n">
        <v>13166</v>
      </c>
      <c r="P7" s="11" t="n">
        <f aca="false">IFERROR(M7/J7,"")</f>
        <v>13182.8434886499</v>
      </c>
      <c r="Q7" s="12" t="n">
        <v>0.1</v>
      </c>
      <c r="R7" s="9" t="n">
        <v>55170</v>
      </c>
      <c r="S7" s="14" t="n">
        <v>20</v>
      </c>
      <c r="T7" s="12" t="n">
        <v>0.1</v>
      </c>
      <c r="U7" s="17" t="n">
        <v>2759</v>
      </c>
      <c r="V7" s="14" t="n">
        <v>1</v>
      </c>
      <c r="W7" s="12" t="n">
        <v>0.1</v>
      </c>
      <c r="X7" s="9" t="n">
        <v>55170</v>
      </c>
      <c r="Y7" s="12" t="n">
        <v>0.7</v>
      </c>
      <c r="Z7" s="9" t="n">
        <v>386182</v>
      </c>
      <c r="AA7" s="4"/>
      <c r="AB7" s="5" t="s">
        <v>77</v>
      </c>
      <c r="AC7" s="6"/>
      <c r="AD7" s="16"/>
      <c r="AE7" s="16"/>
      <c r="AF7" s="5" t="s">
        <v>78</v>
      </c>
    </row>
    <row r="8" customFormat="false" ht="90.75" hidden="false" customHeight="true" outlineLevel="0" collapsed="false">
      <c r="A8" s="4" t="s">
        <v>79</v>
      </c>
      <c r="B8" s="4" t="s">
        <v>80</v>
      </c>
      <c r="C8" s="6"/>
      <c r="D8" s="4" t="s">
        <v>40</v>
      </c>
      <c r="E8" s="6"/>
      <c r="F8" s="19"/>
      <c r="G8" s="6"/>
      <c r="H8" s="4" t="s">
        <v>43</v>
      </c>
      <c r="I8" s="4" t="s">
        <v>81</v>
      </c>
      <c r="J8" s="7" t="n">
        <v>25.25</v>
      </c>
      <c r="K8" s="7" t="n">
        <v>61.84</v>
      </c>
      <c r="L8" s="4" t="s">
        <v>54</v>
      </c>
      <c r="M8" s="9" t="n">
        <v>297074.02</v>
      </c>
      <c r="N8" s="13"/>
      <c r="O8" s="10"/>
      <c r="P8" s="15" t="n">
        <f aca="false">IFERROR(M8/J8,"")</f>
        <v>11765.3077227723</v>
      </c>
      <c r="Q8" s="18" t="n">
        <v>0.18</v>
      </c>
      <c r="R8" s="9" t="n">
        <v>53473.32</v>
      </c>
      <c r="S8" s="14" t="n">
        <v>100</v>
      </c>
      <c r="T8" s="18" t="n">
        <v>0.36</v>
      </c>
      <c r="U8" s="17" t="n">
        <v>1069.47</v>
      </c>
      <c r="V8" s="14" t="n">
        <v>14</v>
      </c>
      <c r="W8" s="18" t="n">
        <v>0.36</v>
      </c>
      <c r="X8" s="9" t="n">
        <v>7639.05</v>
      </c>
      <c r="Y8" s="18" t="n">
        <v>0.1</v>
      </c>
      <c r="Z8" s="9" t="n">
        <v>29707.4</v>
      </c>
      <c r="AA8" s="6"/>
      <c r="AB8" s="5" t="s">
        <v>82</v>
      </c>
      <c r="AC8" s="4" t="s">
        <v>83</v>
      </c>
      <c r="AD8" s="4" t="s">
        <v>84</v>
      </c>
      <c r="AE8" s="6"/>
      <c r="AF8" s="5" t="s">
        <v>85</v>
      </c>
    </row>
    <row r="9" customFormat="false" ht="15" hidden="false" customHeight="true" outlineLevel="0" collapsed="false">
      <c r="A9" s="4" t="s">
        <v>86</v>
      </c>
      <c r="B9" s="4" t="s">
        <v>87</v>
      </c>
      <c r="C9" s="4" t="s">
        <v>88</v>
      </c>
      <c r="D9" s="4" t="s">
        <v>40</v>
      </c>
      <c r="E9" s="4" t="s">
        <v>89</v>
      </c>
      <c r="F9" s="5" t="s">
        <v>90</v>
      </c>
      <c r="G9" s="6"/>
      <c r="H9" s="4" t="s">
        <v>43</v>
      </c>
      <c r="I9" s="4" t="s">
        <v>91</v>
      </c>
      <c r="J9" s="7" t="n">
        <v>25</v>
      </c>
      <c r="K9" s="7" t="n">
        <v>54</v>
      </c>
      <c r="L9" s="4" t="s">
        <v>92</v>
      </c>
      <c r="M9" s="13" t="n">
        <f aca="false">J9*O9</f>
        <v>263150</v>
      </c>
      <c r="N9" s="20"/>
      <c r="O9" s="17" t="n">
        <v>10526</v>
      </c>
      <c r="P9" s="4" t="n">
        <f aca="false">IFERROR(M9/J9,"")</f>
        <v>10526</v>
      </c>
      <c r="Q9" s="21"/>
      <c r="R9" s="20"/>
      <c r="S9" s="6"/>
      <c r="T9" s="21"/>
      <c r="U9" s="10"/>
      <c r="V9" s="6"/>
      <c r="W9" s="21"/>
      <c r="X9" s="20"/>
      <c r="Y9" s="21"/>
      <c r="Z9" s="20"/>
      <c r="AA9" s="6"/>
      <c r="AB9" s="5" t="s">
        <v>93</v>
      </c>
      <c r="AC9" s="4" t="s">
        <v>94</v>
      </c>
      <c r="AD9" s="4" t="s">
        <v>84</v>
      </c>
      <c r="AE9" s="6"/>
      <c r="AF9" s="5" t="s">
        <v>95</v>
      </c>
    </row>
    <row r="10" customFormat="false" ht="21.75" hidden="false" customHeight="true" outlineLevel="0" collapsed="false">
      <c r="A10" s="4" t="s">
        <v>96</v>
      </c>
      <c r="B10" s="4" t="s">
        <v>97</v>
      </c>
      <c r="C10" s="4" t="s">
        <v>98</v>
      </c>
      <c r="D10" s="4" t="s">
        <v>40</v>
      </c>
      <c r="E10" s="4" t="s">
        <v>99</v>
      </c>
      <c r="F10" s="5" t="s">
        <v>100</v>
      </c>
      <c r="G10" s="6"/>
      <c r="H10" s="4" t="s">
        <v>68</v>
      </c>
      <c r="I10" s="4" t="s">
        <v>101</v>
      </c>
      <c r="J10" s="7" t="n">
        <v>33.63</v>
      </c>
      <c r="K10" s="7" t="n">
        <v>34.81</v>
      </c>
      <c r="L10" s="4" t="s">
        <v>54</v>
      </c>
      <c r="M10" s="9" t="n">
        <v>478063.45</v>
      </c>
      <c r="N10" s="20"/>
      <c r="O10" s="10"/>
      <c r="P10" s="4" t="n">
        <f aca="false">IFERROR(M10/J10,"")</f>
        <v>14215.3865596194</v>
      </c>
      <c r="Q10" s="18" t="n">
        <v>0.12</v>
      </c>
      <c r="R10" s="9" t="n">
        <v>57367.61</v>
      </c>
      <c r="S10" s="14" t="n">
        <v>38</v>
      </c>
      <c r="T10" s="18" t="n">
        <v>0.13</v>
      </c>
      <c r="U10" s="17" t="n">
        <v>1635.48</v>
      </c>
      <c r="V10" s="14" t="n">
        <v>3</v>
      </c>
      <c r="W10" s="18" t="n">
        <v>0.15</v>
      </c>
      <c r="X10" s="9" t="n">
        <v>23903.17</v>
      </c>
      <c r="Y10" s="18" t="n">
        <v>0.6</v>
      </c>
      <c r="Z10" s="9" t="n">
        <v>286838.07</v>
      </c>
      <c r="AA10" s="6"/>
      <c r="AB10" s="5" t="s">
        <v>102</v>
      </c>
      <c r="AC10" s="4" t="s">
        <v>83</v>
      </c>
      <c r="AD10" s="4" t="s">
        <v>84</v>
      </c>
      <c r="AE10" s="6"/>
      <c r="AF10" s="5" t="s">
        <v>103</v>
      </c>
    </row>
    <row r="11" customFormat="false" ht="21.75" hidden="false" customHeight="true" outlineLevel="0" collapsed="false"/>
    <row r="12" customFormat="false" ht="15" hidden="false" customHeight="true" outlineLevel="0" collapsed="false">
      <c r="A12" s="22" t="s">
        <v>104</v>
      </c>
    </row>
    <row r="13" customFormat="false" ht="15" hidden="false" customHeight="true" outlineLevel="0" collapsed="false">
      <c r="A13" s="23" t="s">
        <v>79</v>
      </c>
      <c r="B13" s="23" t="s">
        <v>105</v>
      </c>
      <c r="C13" s="23" t="s">
        <v>106</v>
      </c>
      <c r="D13" s="23" t="s">
        <v>40</v>
      </c>
      <c r="E13" s="23" t="s">
        <v>107</v>
      </c>
      <c r="F13" s="24" t="s">
        <v>108</v>
      </c>
      <c r="G13" s="23" t="s">
        <v>109</v>
      </c>
      <c r="H13" s="23" t="s">
        <v>43</v>
      </c>
      <c r="I13" s="23" t="s">
        <v>53</v>
      </c>
      <c r="J13" s="25" t="n">
        <v>28</v>
      </c>
      <c r="K13" s="25" t="n">
        <v>52</v>
      </c>
      <c r="L13" s="23" t="s">
        <v>54</v>
      </c>
      <c r="M13" s="26" t="n">
        <v>400000</v>
      </c>
      <c r="N13" s="26" t="n">
        <v>360000</v>
      </c>
      <c r="O13" s="27" t="n">
        <v>14285.71</v>
      </c>
      <c r="P13" s="27" t="n">
        <f aca="false">IFERROR(M10/J10,"")</f>
        <v>14215.3865596194</v>
      </c>
      <c r="Q13" s="28" t="n">
        <v>0.1</v>
      </c>
      <c r="R13" s="26" t="n">
        <v>40000</v>
      </c>
      <c r="S13" s="23" t="n">
        <v>36</v>
      </c>
      <c r="T13" s="28" t="n">
        <v>0.2</v>
      </c>
      <c r="U13" s="27" t="n">
        <v>2222.22</v>
      </c>
      <c r="V13" s="23" t="n">
        <v>4</v>
      </c>
      <c r="W13" s="28" t="n">
        <v>0.1</v>
      </c>
      <c r="X13" s="26" t="n">
        <v>10000</v>
      </c>
      <c r="Y13" s="28" t="n">
        <v>0.6</v>
      </c>
      <c r="Z13" s="26" t="n">
        <v>240000</v>
      </c>
      <c r="AA13" s="23" t="s">
        <v>61</v>
      </c>
      <c r="AB13" s="24" t="s">
        <v>110</v>
      </c>
      <c r="AC13" s="23" t="s">
        <v>111</v>
      </c>
      <c r="AD13" s="23" t="s">
        <v>112</v>
      </c>
      <c r="AE13" s="23" t="s">
        <v>113</v>
      </c>
      <c r="AF13" s="24" t="s">
        <v>114</v>
      </c>
    </row>
    <row r="14" customFormat="false" ht="15" hidden="false" customHeight="true" outlineLevel="0" collapsed="false"/>
    <row r="15" customFormat="false" ht="15" hidden="false" customHeight="true" outlineLevel="0" collapsed="false">
      <c r="A15" s="29" t="s">
        <v>115</v>
      </c>
    </row>
    <row r="16" customFormat="false" ht="15" hidden="false" customHeight="true" outlineLevel="0" collapsed="false">
      <c r="A16" s="30" t="s">
        <v>116</v>
      </c>
    </row>
    <row r="17" customFormat="false" ht="15" hidden="false" customHeight="true" outlineLevel="0" collapsed="false">
      <c r="A17" s="30" t="s">
        <v>117</v>
      </c>
    </row>
    <row r="18" customFormat="false" ht="15" hidden="false" customHeight="true" outlineLevel="0" collapsed="false">
      <c r="A18" s="30" t="s">
        <v>118</v>
      </c>
    </row>
    <row r="19" customFormat="false" ht="15" hidden="false" customHeight="true" outlineLevel="0" collapsed="false">
      <c r="A19" s="30" t="s">
        <v>119</v>
      </c>
    </row>
    <row r="20" customFormat="false" ht="15" hidden="false" customHeight="true" outlineLevel="0" collapsed="false">
      <c r="A20" s="30" t="s">
        <v>120</v>
      </c>
    </row>
  </sheetData>
  <autoFilter ref="A2:AF10"/>
  <mergeCells count="5">
    <mergeCell ref="A1:G1"/>
    <mergeCell ref="H1:L1"/>
    <mergeCell ref="M1:P1"/>
    <mergeCell ref="Q1:AB1"/>
    <mergeCell ref="AC1:AF1"/>
  </mergeCells>
  <dataValidations count="2">
    <dataValidation allowBlank="true" errorStyle="stop" operator="between" showDropDown="false" showErrorMessage="false" showInputMessage="false" sqref="L3:L63" type="list">
      <formula1>"Lançamento,Pré-lançamento,Em vendas,Em obras,Entregue,Esgotado"</formula1>
      <formula2>0</formula2>
    </dataValidation>
    <dataValidation allowBlank="true" errorStyle="stop" operator="between" showDropDown="false" showErrorMessage="false" showInputMessage="false" sqref="H3:H63" type="list">
      <formula1>"Studio,Misto,Residencial,Comercial,Alto padrão"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5" min="3" style="1" width="5"/>
    <col collapsed="false" customWidth="true" hidden="false" outlineLevel="0" max="36" min="36" style="1" width="12"/>
  </cols>
  <sheetData>
    <row r="1" customFormat="false" ht="109.5" hidden="false" customHeight="true" outlineLevel="0" collapsed="false">
      <c r="A1" s="29" t="s">
        <v>5</v>
      </c>
      <c r="B1" s="29" t="s">
        <v>6</v>
      </c>
      <c r="C1" s="31" t="s">
        <v>121</v>
      </c>
      <c r="D1" s="31" t="s">
        <v>122</v>
      </c>
      <c r="E1" s="31" t="s">
        <v>123</v>
      </c>
      <c r="F1" s="31" t="s">
        <v>124</v>
      </c>
      <c r="G1" s="31" t="s">
        <v>125</v>
      </c>
      <c r="H1" s="31" t="s">
        <v>126</v>
      </c>
      <c r="I1" s="31" t="s">
        <v>127</v>
      </c>
      <c r="J1" s="31" t="s">
        <v>128</v>
      </c>
      <c r="K1" s="31" t="s">
        <v>129</v>
      </c>
      <c r="L1" s="31" t="s">
        <v>130</v>
      </c>
      <c r="M1" s="31" t="s">
        <v>131</v>
      </c>
      <c r="N1" s="31" t="s">
        <v>132</v>
      </c>
      <c r="O1" s="31" t="s">
        <v>133</v>
      </c>
      <c r="P1" s="31" t="s">
        <v>134</v>
      </c>
      <c r="Q1" s="31" t="s">
        <v>135</v>
      </c>
      <c r="R1" s="31" t="s">
        <v>136</v>
      </c>
      <c r="S1" s="31" t="s">
        <v>137</v>
      </c>
      <c r="T1" s="31" t="s">
        <v>138</v>
      </c>
      <c r="U1" s="31" t="s">
        <v>139</v>
      </c>
      <c r="V1" s="31" t="s">
        <v>140</v>
      </c>
      <c r="W1" s="31" t="s">
        <v>141</v>
      </c>
      <c r="X1" s="31" t="s">
        <v>142</v>
      </c>
      <c r="Y1" s="31" t="s">
        <v>143</v>
      </c>
      <c r="Z1" s="31" t="s">
        <v>144</v>
      </c>
      <c r="AA1" s="31" t="s">
        <v>145</v>
      </c>
      <c r="AB1" s="31" t="s">
        <v>146</v>
      </c>
      <c r="AC1" s="31" t="s">
        <v>147</v>
      </c>
      <c r="AD1" s="31" t="s">
        <v>148</v>
      </c>
      <c r="AE1" s="31" t="s">
        <v>149</v>
      </c>
      <c r="AF1" s="31" t="s">
        <v>150</v>
      </c>
      <c r="AG1" s="31" t="s">
        <v>151</v>
      </c>
      <c r="AH1" s="31" t="s">
        <v>152</v>
      </c>
      <c r="AI1" s="31" t="s">
        <v>153</v>
      </c>
      <c r="AJ1" s="32" t="s">
        <v>154</v>
      </c>
    </row>
    <row r="2" customFormat="false" ht="15" hidden="false" customHeight="true" outlineLevel="0" collapsed="false">
      <c r="A2" s="33" t="s">
        <v>37</v>
      </c>
      <c r="B2" s="33" t="s">
        <v>38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5" t="n">
        <f aca="false">COUNTIF(C2:AI2,"X")</f>
        <v>0</v>
      </c>
    </row>
    <row r="3" customFormat="false" ht="15" hidden="false" customHeight="true" outlineLevel="0" collapsed="false">
      <c r="A3" s="33" t="s">
        <v>48</v>
      </c>
      <c r="B3" s="33" t="s">
        <v>49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5" t="n">
        <f aca="false">COUNTIF(C3:AI3,"X")</f>
        <v>0</v>
      </c>
    </row>
    <row r="4" customFormat="false" ht="15" hidden="false" customHeight="true" outlineLevel="0" collapsed="false">
      <c r="A4" s="33" t="s">
        <v>57</v>
      </c>
      <c r="B4" s="33" t="s">
        <v>58</v>
      </c>
      <c r="C4" s="36" t="s">
        <v>155</v>
      </c>
      <c r="D4" s="36" t="s">
        <v>155</v>
      </c>
      <c r="E4" s="36"/>
      <c r="F4" s="36" t="s">
        <v>155</v>
      </c>
      <c r="G4" s="36"/>
      <c r="H4" s="36"/>
      <c r="I4" s="36"/>
      <c r="J4" s="36" t="s">
        <v>155</v>
      </c>
      <c r="K4" s="36" t="s">
        <v>155</v>
      </c>
      <c r="L4" s="36" t="s">
        <v>155</v>
      </c>
      <c r="M4" s="36" t="s">
        <v>155</v>
      </c>
      <c r="N4" s="36" t="s">
        <v>155</v>
      </c>
      <c r="O4" s="36" t="s">
        <v>155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5" t="n">
        <f aca="false">COUNTIF(C4:AI4,"X")</f>
        <v>9</v>
      </c>
    </row>
    <row r="5" customFormat="false" ht="15" hidden="false" customHeight="true" outlineLevel="0" collapsed="false">
      <c r="A5" s="33" t="s">
        <v>64</v>
      </c>
      <c r="B5" s="33" t="s">
        <v>65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5" t="n">
        <f aca="false">COUNTIF(C5:AI5,"X")</f>
        <v>0</v>
      </c>
    </row>
    <row r="6" customFormat="false" ht="15" hidden="false" customHeight="true" outlineLevel="0" collapsed="false">
      <c r="A6" s="33" t="s">
        <v>71</v>
      </c>
      <c r="B6" s="33" t="s">
        <v>72</v>
      </c>
      <c r="C6" s="36" t="s">
        <v>155</v>
      </c>
      <c r="D6" s="36" t="s">
        <v>155</v>
      </c>
      <c r="E6" s="36" t="s">
        <v>155</v>
      </c>
      <c r="F6" s="36" t="s">
        <v>155</v>
      </c>
      <c r="G6" s="36" t="s">
        <v>155</v>
      </c>
      <c r="H6" s="36" t="s">
        <v>155</v>
      </c>
      <c r="I6" s="36" t="s">
        <v>155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5" t="n">
        <f aca="false">COUNTIF(C6:AI6,"X")</f>
        <v>7</v>
      </c>
    </row>
    <row r="7" customFormat="false" ht="15" hidden="false" customHeight="true" outlineLevel="0" collapsed="false">
      <c r="A7" s="33" t="s">
        <v>79</v>
      </c>
      <c r="B7" s="33" t="s">
        <v>80</v>
      </c>
      <c r="C7" s="36" t="s">
        <v>155</v>
      </c>
      <c r="D7" s="36" t="s">
        <v>155</v>
      </c>
      <c r="E7" s="36" t="s">
        <v>155</v>
      </c>
      <c r="F7" s="36" t="s">
        <v>155</v>
      </c>
      <c r="G7" s="36"/>
      <c r="H7" s="36"/>
      <c r="I7" s="36"/>
      <c r="J7" s="36"/>
      <c r="K7" s="36"/>
      <c r="L7" s="36" t="s">
        <v>155</v>
      </c>
      <c r="M7" s="36"/>
      <c r="N7" s="36"/>
      <c r="O7" s="36"/>
      <c r="P7" s="36" t="s">
        <v>155</v>
      </c>
      <c r="Q7" s="36"/>
      <c r="R7" s="36" t="s">
        <v>155</v>
      </c>
      <c r="S7" s="36" t="s">
        <v>155</v>
      </c>
      <c r="T7" s="36" t="s">
        <v>155</v>
      </c>
      <c r="U7" s="36" t="s">
        <v>155</v>
      </c>
      <c r="V7" s="36" t="s">
        <v>155</v>
      </c>
      <c r="W7" s="36" t="s">
        <v>155</v>
      </c>
      <c r="X7" s="36" t="s">
        <v>155</v>
      </c>
      <c r="Y7" s="36" t="s">
        <v>155</v>
      </c>
      <c r="Z7" s="36"/>
      <c r="AA7" s="36" t="s">
        <v>155</v>
      </c>
      <c r="AB7" s="36"/>
      <c r="AC7" s="36"/>
      <c r="AD7" s="36"/>
      <c r="AE7" s="36"/>
      <c r="AF7" s="36"/>
      <c r="AG7" s="36"/>
      <c r="AH7" s="36"/>
      <c r="AI7" s="36"/>
      <c r="AJ7" s="35" t="n">
        <f aca="false">COUNTIF(C7:AI7,"X")</f>
        <v>15</v>
      </c>
    </row>
    <row r="8" customFormat="false" ht="15" hidden="false" customHeight="true" outlineLevel="0" collapsed="false">
      <c r="A8" s="33" t="s">
        <v>86</v>
      </c>
      <c r="B8" s="33" t="s">
        <v>156</v>
      </c>
      <c r="C8" s="36"/>
      <c r="D8" s="36"/>
      <c r="E8" s="36" t="s">
        <v>155</v>
      </c>
      <c r="F8" s="36" t="s">
        <v>155</v>
      </c>
      <c r="G8" s="36" t="s">
        <v>155</v>
      </c>
      <c r="H8" s="36"/>
      <c r="I8" s="36" t="s">
        <v>155</v>
      </c>
      <c r="J8" s="36"/>
      <c r="K8" s="36"/>
      <c r="L8" s="36"/>
      <c r="M8" s="36" t="s">
        <v>155</v>
      </c>
      <c r="N8" s="36"/>
      <c r="O8" s="36"/>
      <c r="P8" s="36"/>
      <c r="Q8" s="36"/>
      <c r="R8" s="36"/>
      <c r="S8" s="36"/>
      <c r="T8" s="36"/>
      <c r="U8" s="36" t="s">
        <v>155</v>
      </c>
      <c r="V8" s="36"/>
      <c r="W8" s="36"/>
      <c r="X8" s="36"/>
      <c r="Y8" s="36" t="s">
        <v>155</v>
      </c>
      <c r="Z8" s="36" t="s">
        <v>155</v>
      </c>
      <c r="AA8" s="34"/>
      <c r="AB8" s="34"/>
      <c r="AC8" s="34"/>
      <c r="AD8" s="34"/>
      <c r="AE8" s="34"/>
      <c r="AF8" s="34"/>
      <c r="AG8" s="34"/>
      <c r="AH8" s="34"/>
      <c r="AI8" s="34"/>
      <c r="AJ8" s="35" t="n">
        <f aca="false">COUNTIF(C8:AI8,"X")</f>
        <v>8</v>
      </c>
    </row>
    <row r="9" customFormat="false" ht="15" hidden="false" customHeight="true" outlineLevel="0" collapsed="false">
      <c r="A9" s="33" t="s">
        <v>96</v>
      </c>
      <c r="B9" s="33" t="s">
        <v>97</v>
      </c>
      <c r="C9" s="36" t="s">
        <v>155</v>
      </c>
      <c r="D9" s="36" t="s">
        <v>155</v>
      </c>
      <c r="E9" s="36" t="s">
        <v>155</v>
      </c>
      <c r="F9" s="36"/>
      <c r="G9" s="36" t="s">
        <v>155</v>
      </c>
      <c r="H9" s="36" t="s">
        <v>155</v>
      </c>
      <c r="I9" s="36" t="s">
        <v>155</v>
      </c>
      <c r="J9" s="36"/>
      <c r="K9" s="36"/>
      <c r="L9" s="36" t="s">
        <v>155</v>
      </c>
      <c r="M9" s="36" t="s">
        <v>155</v>
      </c>
      <c r="N9" s="36" t="s">
        <v>155</v>
      </c>
      <c r="O9" s="36"/>
      <c r="P9" s="36" t="s">
        <v>155</v>
      </c>
      <c r="Q9" s="36"/>
      <c r="R9" s="36" t="s">
        <v>155</v>
      </c>
      <c r="S9" s="36"/>
      <c r="T9" s="36" t="s">
        <v>155</v>
      </c>
      <c r="U9" s="36" t="s">
        <v>155</v>
      </c>
      <c r="V9" s="36" t="s">
        <v>155</v>
      </c>
      <c r="W9" s="36"/>
      <c r="X9" s="36" t="s">
        <v>155</v>
      </c>
      <c r="Y9" s="36" t="s">
        <v>155</v>
      </c>
      <c r="Z9" s="36"/>
      <c r="AA9" s="36" t="s">
        <v>155</v>
      </c>
      <c r="AB9" s="36" t="s">
        <v>155</v>
      </c>
      <c r="AC9" s="36" t="s">
        <v>155</v>
      </c>
      <c r="AD9" s="36" t="s">
        <v>155</v>
      </c>
      <c r="AE9" s="36" t="s">
        <v>155</v>
      </c>
      <c r="AF9" s="36" t="s">
        <v>155</v>
      </c>
      <c r="AG9" s="36" t="s">
        <v>155</v>
      </c>
      <c r="AH9" s="36" t="s">
        <v>155</v>
      </c>
      <c r="AI9" s="36" t="s">
        <v>155</v>
      </c>
      <c r="AJ9" s="35" t="n">
        <f aca="false">COUNTIF(C9:AI9,"X")</f>
        <v>25</v>
      </c>
    </row>
    <row r="10" customFormat="false" ht="15" hidden="false" customHeight="true" outlineLevel="0" collapsed="false"/>
    <row r="11" customFormat="false" ht="15" hidden="false" customHeight="true" outlineLevel="0" collapsed="false">
      <c r="A11" s="37" t="s">
        <v>157</v>
      </c>
    </row>
    <row r="12" customFormat="false" ht="15" hidden="false" customHeight="true" outlineLevel="0" collapsed="false">
      <c r="A12" s="37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46"/>
    <col collapsed="false" customWidth="true" hidden="false" outlineLevel="0" max="4" min="4" style="1" width="12"/>
  </cols>
  <sheetData>
    <row r="1" customFormat="false" ht="15" hidden="false" customHeight="true" outlineLevel="0" collapsed="false">
      <c r="A1" s="38" t="s">
        <v>5</v>
      </c>
      <c r="B1" s="38" t="s">
        <v>6</v>
      </c>
      <c r="C1" s="38" t="s">
        <v>159</v>
      </c>
      <c r="D1" s="38" t="s">
        <v>160</v>
      </c>
    </row>
    <row r="2" customFormat="false" ht="23.25" hidden="false" customHeight="true" outlineLevel="0" collapsed="false">
      <c r="A2" s="4" t="s">
        <v>37</v>
      </c>
      <c r="B2" s="4" t="s">
        <v>38</v>
      </c>
      <c r="C2" s="5" t="s">
        <v>161</v>
      </c>
      <c r="D2" s="4" t="s">
        <v>162</v>
      </c>
    </row>
    <row r="3" customFormat="false" ht="23.25" hidden="false" customHeight="true" outlineLevel="0" collapsed="false">
      <c r="A3" s="4" t="s">
        <v>37</v>
      </c>
      <c r="B3" s="4" t="s">
        <v>38</v>
      </c>
      <c r="C3" s="5" t="s">
        <v>163</v>
      </c>
      <c r="D3" s="4" t="s">
        <v>164</v>
      </c>
    </row>
    <row r="4" customFormat="false" ht="23.25" hidden="false" customHeight="true" outlineLevel="0" collapsed="false">
      <c r="A4" s="4" t="s">
        <v>48</v>
      </c>
      <c r="B4" s="4" t="s">
        <v>49</v>
      </c>
      <c r="C4" s="5" t="s">
        <v>165</v>
      </c>
      <c r="D4" s="4" t="s">
        <v>162</v>
      </c>
    </row>
    <row r="5" customFormat="false" ht="15" hidden="false" customHeight="true" outlineLevel="0" collapsed="false">
      <c r="A5" s="4" t="s">
        <v>48</v>
      </c>
      <c r="B5" s="4" t="s">
        <v>49</v>
      </c>
      <c r="C5" s="5" t="s">
        <v>166</v>
      </c>
      <c r="D5" s="4" t="s">
        <v>162</v>
      </c>
    </row>
    <row r="6" customFormat="false" ht="15" hidden="false" customHeight="true" outlineLevel="0" collapsed="false">
      <c r="A6" s="4" t="s">
        <v>48</v>
      </c>
      <c r="B6" s="4" t="s">
        <v>49</v>
      </c>
      <c r="C6" s="5" t="s">
        <v>167</v>
      </c>
      <c r="D6" s="4" t="s">
        <v>164</v>
      </c>
    </row>
    <row r="7" customFormat="false" ht="15" hidden="false" customHeight="true" outlineLevel="0" collapsed="false">
      <c r="A7" s="4" t="s">
        <v>57</v>
      </c>
      <c r="B7" s="4" t="s">
        <v>58</v>
      </c>
      <c r="C7" s="5" t="s">
        <v>168</v>
      </c>
      <c r="D7" s="4" t="s">
        <v>162</v>
      </c>
    </row>
    <row r="8" customFormat="false" ht="15" hidden="false" customHeight="true" outlineLevel="0" collapsed="false">
      <c r="A8" s="4" t="s">
        <v>57</v>
      </c>
      <c r="B8" s="4" t="s">
        <v>58</v>
      </c>
      <c r="C8" s="5" t="s">
        <v>169</v>
      </c>
      <c r="D8" s="4" t="s">
        <v>162</v>
      </c>
    </row>
    <row r="9" customFormat="false" ht="15" hidden="false" customHeight="true" outlineLevel="0" collapsed="false">
      <c r="A9" s="4" t="s">
        <v>57</v>
      </c>
      <c r="B9" s="4" t="s">
        <v>58</v>
      </c>
      <c r="C9" s="5" t="s">
        <v>170</v>
      </c>
      <c r="D9" s="4" t="s">
        <v>171</v>
      </c>
    </row>
    <row r="10" customFormat="false" ht="15" hidden="false" customHeight="true" outlineLevel="0" collapsed="false">
      <c r="A10" s="4" t="s">
        <v>64</v>
      </c>
      <c r="B10" s="4" t="s">
        <v>65</v>
      </c>
      <c r="C10" s="5" t="s">
        <v>172</v>
      </c>
      <c r="D10" s="4" t="s">
        <v>162</v>
      </c>
    </row>
    <row r="11" customFormat="false" ht="23.25" hidden="false" customHeight="true" outlineLevel="0" collapsed="false">
      <c r="A11" s="4" t="s">
        <v>64</v>
      </c>
      <c r="B11" s="4" t="s">
        <v>65</v>
      </c>
      <c r="C11" s="5" t="s">
        <v>173</v>
      </c>
      <c r="D11" s="4" t="s">
        <v>164</v>
      </c>
    </row>
    <row r="12" customFormat="false" ht="15" hidden="false" customHeight="true" outlineLevel="0" collapsed="false">
      <c r="A12" s="4" t="s">
        <v>71</v>
      </c>
      <c r="B12" s="4" t="s">
        <v>72</v>
      </c>
      <c r="C12" s="5" t="s">
        <v>174</v>
      </c>
      <c r="D12" s="4" t="s">
        <v>162</v>
      </c>
    </row>
    <row r="13" customFormat="false" ht="23.25" hidden="false" customHeight="true" outlineLevel="0" collapsed="false">
      <c r="A13" s="4" t="s">
        <v>71</v>
      </c>
      <c r="B13" s="4" t="s">
        <v>72</v>
      </c>
      <c r="C13" s="5" t="s">
        <v>175</v>
      </c>
      <c r="D13" s="4" t="s">
        <v>164</v>
      </c>
    </row>
    <row r="14" customFormat="false" ht="15" hidden="false" customHeight="true" outlineLevel="0" collapsed="false">
      <c r="A14" s="4" t="s">
        <v>176</v>
      </c>
      <c r="B14" s="4" t="s">
        <v>177</v>
      </c>
      <c r="C14" s="5" t="s">
        <v>178</v>
      </c>
      <c r="D14" s="4" t="s">
        <v>162</v>
      </c>
    </row>
    <row r="15" customFormat="false" ht="15" hidden="false" customHeight="true" outlineLevel="0" collapsed="false">
      <c r="A15" s="4" t="s">
        <v>176</v>
      </c>
      <c r="B15" s="4" t="s">
        <v>177</v>
      </c>
      <c r="C15" s="5" t="s">
        <v>179</v>
      </c>
      <c r="D15" s="4" t="s">
        <v>162</v>
      </c>
    </row>
    <row r="16" customFormat="false" ht="15" hidden="false" customHeight="true" outlineLevel="0" collapsed="false">
      <c r="A16" s="4" t="s">
        <v>79</v>
      </c>
      <c r="B16" s="4" t="s">
        <v>80</v>
      </c>
      <c r="C16" s="5" t="s">
        <v>180</v>
      </c>
      <c r="D16" s="4" t="s">
        <v>162</v>
      </c>
    </row>
    <row r="17" customFormat="false" ht="15" hidden="false" customHeight="true" outlineLevel="0" collapsed="false">
      <c r="A17" s="4" t="s">
        <v>79</v>
      </c>
      <c r="B17" s="4" t="s">
        <v>80</v>
      </c>
      <c r="C17" s="5" t="s">
        <v>181</v>
      </c>
      <c r="D17" s="4" t="s">
        <v>164</v>
      </c>
    </row>
    <row r="18" customFormat="false" ht="23.25" hidden="false" customHeight="true" outlineLevel="0" collapsed="false">
      <c r="A18" s="4" t="s">
        <v>86</v>
      </c>
      <c r="B18" s="4" t="s">
        <v>156</v>
      </c>
      <c r="C18" s="5" t="s">
        <v>182</v>
      </c>
      <c r="D18" s="4" t="s">
        <v>162</v>
      </c>
    </row>
    <row r="19" customFormat="false" ht="23.25" hidden="false" customHeight="true" outlineLevel="0" collapsed="false">
      <c r="A19" s="4" t="s">
        <v>86</v>
      </c>
      <c r="B19" s="4" t="s">
        <v>156</v>
      </c>
      <c r="C19" s="5" t="s">
        <v>183</v>
      </c>
      <c r="D19" s="4" t="s">
        <v>162</v>
      </c>
    </row>
    <row r="20" customFormat="false" ht="23.25" hidden="false" customHeight="true" outlineLevel="0" collapsed="false">
      <c r="A20" s="4" t="s">
        <v>96</v>
      </c>
      <c r="B20" s="4" t="s">
        <v>97</v>
      </c>
      <c r="C20" s="5" t="s">
        <v>184</v>
      </c>
      <c r="D20" s="4" t="s">
        <v>162</v>
      </c>
    </row>
    <row r="21" customFormat="false" ht="15" hidden="false" customHeight="true" outlineLevel="0" collapsed="false">
      <c r="A21" s="4" t="s">
        <v>96</v>
      </c>
      <c r="B21" s="4" t="s">
        <v>97</v>
      </c>
      <c r="C21" s="5" t="s">
        <v>185</v>
      </c>
      <c r="D21" s="4" t="s">
        <v>164</v>
      </c>
    </row>
  </sheetData>
  <autoFilter ref="A1:D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2"/>
    <col collapsed="false" customWidth="true" hidden="false" outlineLevel="0" max="3" min="3" style="1" width="20"/>
    <col collapsed="false" customWidth="true" hidden="false" outlineLevel="0" max="4" min="4" style="1" width="52"/>
  </cols>
  <sheetData>
    <row r="1" customFormat="false" ht="15" hidden="false" customHeight="true" outlineLevel="0" collapsed="false">
      <c r="A1" s="38" t="s">
        <v>186</v>
      </c>
      <c r="B1" s="38" t="s">
        <v>187</v>
      </c>
      <c r="C1" s="38" t="s">
        <v>188</v>
      </c>
      <c r="D1" s="38" t="s">
        <v>189</v>
      </c>
    </row>
    <row r="2" customFormat="false" ht="15" hidden="false" customHeight="true" outlineLevel="0" collapsed="false">
      <c r="A2" s="5" t="s">
        <v>5</v>
      </c>
      <c r="B2" s="5" t="s">
        <v>190</v>
      </c>
      <c r="C2" s="5" t="s">
        <v>191</v>
      </c>
      <c r="D2" s="5" t="s">
        <v>192</v>
      </c>
    </row>
    <row r="3" customFormat="false" ht="23.25" hidden="false" customHeight="true" outlineLevel="0" collapsed="false">
      <c r="A3" s="5" t="s">
        <v>6</v>
      </c>
      <c r="B3" s="5" t="s">
        <v>193</v>
      </c>
      <c r="C3" s="5" t="s">
        <v>194</v>
      </c>
      <c r="D3" s="5" t="s">
        <v>195</v>
      </c>
    </row>
    <row r="4" customFormat="false" ht="15" hidden="false" customHeight="true" outlineLevel="0" collapsed="false">
      <c r="A4" s="5" t="s">
        <v>7</v>
      </c>
      <c r="B4" s="5" t="s">
        <v>196</v>
      </c>
      <c r="C4" s="5" t="s">
        <v>194</v>
      </c>
      <c r="D4" s="5" t="s">
        <v>197</v>
      </c>
    </row>
    <row r="5" customFormat="false" ht="15" hidden="false" customHeight="true" outlineLevel="0" collapsed="false">
      <c r="A5" s="5" t="s">
        <v>12</v>
      </c>
      <c r="B5" s="5" t="s">
        <v>198</v>
      </c>
      <c r="C5" s="5" t="s">
        <v>199</v>
      </c>
      <c r="D5" s="5" t="s">
        <v>200</v>
      </c>
    </row>
    <row r="6" customFormat="false" ht="15" hidden="false" customHeight="true" outlineLevel="0" collapsed="false">
      <c r="A6" s="5" t="s">
        <v>13</v>
      </c>
      <c r="B6" s="5" t="s">
        <v>201</v>
      </c>
      <c r="C6" s="5" t="s">
        <v>194</v>
      </c>
      <c r="D6" s="5" t="s">
        <v>202</v>
      </c>
    </row>
    <row r="7" customFormat="false" ht="23.25" hidden="false" customHeight="true" outlineLevel="0" collapsed="false">
      <c r="A7" s="5" t="s">
        <v>203</v>
      </c>
      <c r="B7" s="5" t="s">
        <v>204</v>
      </c>
      <c r="C7" s="5" t="s">
        <v>205</v>
      </c>
      <c r="D7" s="5" t="s">
        <v>206</v>
      </c>
    </row>
    <row r="8" customFormat="false" ht="23.25" hidden="false" customHeight="true" outlineLevel="0" collapsed="false">
      <c r="A8" s="5" t="s">
        <v>16</v>
      </c>
      <c r="B8" s="5" t="s">
        <v>207</v>
      </c>
      <c r="C8" s="5" t="s">
        <v>199</v>
      </c>
      <c r="D8" s="5" t="s">
        <v>208</v>
      </c>
    </row>
    <row r="9" customFormat="false" ht="23.25" hidden="false" customHeight="true" outlineLevel="0" collapsed="false">
      <c r="A9" s="5" t="s">
        <v>209</v>
      </c>
      <c r="B9" s="5" t="s">
        <v>210</v>
      </c>
      <c r="C9" s="5" t="s">
        <v>211</v>
      </c>
      <c r="D9" s="5" t="s">
        <v>212</v>
      </c>
    </row>
    <row r="10" customFormat="false" ht="23.25" hidden="false" customHeight="true" outlineLevel="0" collapsed="false">
      <c r="A10" s="5" t="s">
        <v>213</v>
      </c>
      <c r="B10" s="5" t="s">
        <v>214</v>
      </c>
      <c r="C10" s="5" t="s">
        <v>211</v>
      </c>
      <c r="D10" s="5" t="s">
        <v>215</v>
      </c>
    </row>
    <row r="11" customFormat="false" ht="23.25" hidden="false" customHeight="true" outlineLevel="0" collapsed="false">
      <c r="A11" s="5" t="s">
        <v>216</v>
      </c>
      <c r="B11" s="5" t="s">
        <v>217</v>
      </c>
      <c r="C11" s="5" t="s">
        <v>211</v>
      </c>
      <c r="D11" s="5" t="s">
        <v>218</v>
      </c>
    </row>
    <row r="12" customFormat="false" ht="15" hidden="false" customHeight="true" outlineLevel="0" collapsed="false">
      <c r="A12" s="5" t="s">
        <v>219</v>
      </c>
      <c r="B12" s="5" t="s">
        <v>220</v>
      </c>
      <c r="C12" s="5" t="s">
        <v>221</v>
      </c>
      <c r="D12" s="5" t="s">
        <v>222</v>
      </c>
    </row>
    <row r="13" customFormat="false" ht="23.25" hidden="false" customHeight="true" outlineLevel="0" collapsed="false">
      <c r="A13" s="5" t="s">
        <v>223</v>
      </c>
      <c r="B13" s="5" t="s">
        <v>224</v>
      </c>
      <c r="C13" s="5" t="s">
        <v>225</v>
      </c>
      <c r="D13" s="5" t="s">
        <v>226</v>
      </c>
    </row>
    <row r="14" customFormat="false" ht="15" hidden="false" customHeight="true" outlineLevel="0" collapsed="false">
      <c r="A14" s="5" t="s">
        <v>227</v>
      </c>
      <c r="B14" s="5" t="s">
        <v>228</v>
      </c>
      <c r="C14" s="5" t="s">
        <v>229</v>
      </c>
      <c r="D14" s="5" t="s">
        <v>230</v>
      </c>
    </row>
    <row r="15" customFormat="false" ht="23.25" hidden="false" customHeight="true" outlineLevel="0" collapsed="false">
      <c r="A15" s="5" t="s">
        <v>231</v>
      </c>
      <c r="B15" s="5" t="s">
        <v>232</v>
      </c>
      <c r="C15" s="5" t="s">
        <v>229</v>
      </c>
      <c r="D15" s="5" t="s">
        <v>233</v>
      </c>
    </row>
    <row r="16" customFormat="false" ht="15" hidden="false" customHeight="true" outlineLevel="0" collapsed="false">
      <c r="A16" s="5" t="s">
        <v>234</v>
      </c>
      <c r="B16" s="5" t="s">
        <v>235</v>
      </c>
      <c r="C16" s="5" t="s">
        <v>225</v>
      </c>
      <c r="D16" s="5" t="s">
        <v>236</v>
      </c>
    </row>
    <row r="17" customFormat="false" ht="23.25" hidden="false" customHeight="true" outlineLevel="0" collapsed="false">
      <c r="A17" s="5" t="s">
        <v>31</v>
      </c>
      <c r="B17" s="5" t="s">
        <v>237</v>
      </c>
      <c r="C17" s="5" t="s">
        <v>194</v>
      </c>
      <c r="D17" s="5" t="s">
        <v>238</v>
      </c>
    </row>
    <row r="18" customFormat="false" ht="23.25" hidden="false" customHeight="true" outlineLevel="0" collapsed="false">
      <c r="A18" s="5" t="s">
        <v>32</v>
      </c>
      <c r="B18" s="5" t="s">
        <v>239</v>
      </c>
      <c r="C18" s="5" t="s">
        <v>194</v>
      </c>
      <c r="D18" s="5" t="s">
        <v>240</v>
      </c>
    </row>
    <row r="19" customFormat="false" ht="15" hidden="false" customHeight="true" outlineLevel="0" collapsed="false">
      <c r="A19" s="5" t="s">
        <v>33</v>
      </c>
      <c r="B19" s="5" t="s">
        <v>241</v>
      </c>
      <c r="C19" s="5" t="s">
        <v>194</v>
      </c>
      <c r="D19" s="5" t="s">
        <v>242</v>
      </c>
    </row>
    <row r="20" customFormat="false" ht="15" hidden="false" customHeight="true" outlineLevel="0" collapsed="false">
      <c r="A20" s="5" t="s">
        <v>34</v>
      </c>
      <c r="B20" s="5" t="s">
        <v>243</v>
      </c>
      <c r="C20" s="5" t="s">
        <v>244</v>
      </c>
      <c r="D20" s="5" t="s">
        <v>245</v>
      </c>
    </row>
    <row r="21" customFormat="false" ht="15" hidden="false" customHeight="true" outlineLevel="0" collapsed="false">
      <c r="A21" s="5" t="s">
        <v>35</v>
      </c>
      <c r="B21" s="5" t="s">
        <v>246</v>
      </c>
      <c r="C21" s="5" t="s">
        <v>194</v>
      </c>
      <c r="D21" s="5" t="s">
        <v>247</v>
      </c>
    </row>
    <row r="22" customFormat="false" ht="23.25" hidden="false" customHeight="true" outlineLevel="0" collapsed="false">
      <c r="A22" s="5" t="s">
        <v>36</v>
      </c>
      <c r="B22" s="5" t="s">
        <v>248</v>
      </c>
      <c r="C22" s="5" t="s">
        <v>194</v>
      </c>
      <c r="D22" s="5" t="s">
        <v>249</v>
      </c>
    </row>
    <row r="24" customFormat="false" ht="15" hidden="false" customHeight="true" outlineLevel="0" collapsed="false">
      <c r="A24" s="29" t="s">
        <v>250</v>
      </c>
    </row>
    <row r="25" customFormat="false" ht="15" hidden="false" customHeight="true" outlineLevel="0" collapsed="false">
      <c r="A25" s="30" t="s">
        <v>251</v>
      </c>
    </row>
    <row r="26" customFormat="false" ht="15" hidden="false" customHeight="true" outlineLevel="0" collapsed="false">
      <c r="A26" s="30" t="s">
        <v>252</v>
      </c>
    </row>
    <row r="27" customFormat="false" ht="15" hidden="false" customHeight="true" outlineLevel="0" collapsed="false">
      <c r="A27" s="30" t="s">
        <v>253</v>
      </c>
    </row>
    <row r="28" customFormat="false" ht="15" hidden="false" customHeight="true" outlineLevel="0" collapsed="false">
      <c r="A28" s="30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2026-08-26T22:40:12Z</dcterms:created>
  <dc:creator>openpyxl</dc:creator>
  <dc:description/>
  <dc:language>en-US</dc:language>
  <cp:lastModifiedBy/>
  <dcterms:modified xsi:type="dcterms:W3CDTF">2026-08-27T00:27:21Z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